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rteira" sheetId="2" state="visible" r:id="rId4"/>
    <sheet name="Histórico" sheetId="3" state="visible" r:id="rId5"/>
    <sheet name="Confi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<sst xmlns="http://schemas.openxmlformats.org/spreadsheetml/2006/main" count="145" uniqueCount="93">
  <si>
    <t xml:space="preserve">Patrimônio</t>
  </si>
  <si>
    <t xml:space="preserve">XP + Itaú/ION + Onze · jun/26 · cotações CPLE3/ITSA4/RANI3/BRST3 ao vivo · manuais atualize 1x/mês</t>
  </si>
  <si>
    <t xml:space="preserve">PATRIMÔNIO TOTAL</t>
  </si>
  <si>
    <t xml:space="preserve">TOTAL APLICADO</t>
  </si>
  <si>
    <t xml:space="preserve">RENDIMENTO (R$)</t>
  </si>
  <si>
    <t xml:space="preserve">RENDIMENTO (%)</t>
  </si>
  <si>
    <t xml:space="preserve">Por instituição</t>
  </si>
  <si>
    <t xml:space="preserve">Valor</t>
  </si>
  <si>
    <t xml:space="preserve">%</t>
  </si>
  <si>
    <t xml:space="preserve">XP</t>
  </si>
  <si>
    <t xml:space="preserve">Itaú/ION</t>
  </si>
  <si>
    <t xml:space="preserve">Onze</t>
  </si>
  <si>
    <t xml:space="preserve">Total</t>
  </si>
  <si>
    <t xml:space="preserve">Por classe</t>
  </si>
  <si>
    <t xml:space="preserve">Ação/FII</t>
  </si>
  <si>
    <t xml:space="preserve">Fundo</t>
  </si>
  <si>
    <t xml:space="preserve">Previdência</t>
  </si>
  <si>
    <t xml:space="preserve">Cofrinhos</t>
  </si>
  <si>
    <t xml:space="preserve">Poupança</t>
  </si>
  <si>
    <t xml:space="preserve">Carteira · XP + Itaú/ION + Onze (jun/26)</t>
  </si>
  <si>
    <t xml:space="preserve">Cotação automática: CPLE3, ITSA4, RANI3, BRST3. Demais: atualize 'Saldo Manual' 1x/mês. Âmbar = resgate pendente XP.</t>
  </si>
  <si>
    <t xml:space="preserve">Instituição</t>
  </si>
  <si>
    <t xml:space="preserve">Classe</t>
  </si>
  <si>
    <t xml:space="preserve">Ativo</t>
  </si>
  <si>
    <t xml:space="preserve">Ticker</t>
  </si>
  <si>
    <t xml:space="preserve">Qtd</t>
  </si>
  <si>
    <t xml:space="preserve">Valor Aplicado</t>
  </si>
  <si>
    <t xml:space="preserve">Cotação Atual</t>
  </si>
  <si>
    <t xml:space="preserve">Saldo Manual</t>
  </si>
  <si>
    <t xml:space="preserve">Saldo Atual</t>
  </si>
  <si>
    <t xml:space="preserve">Rendimento R$</t>
  </si>
  <si>
    <t xml:space="preserve">Rend. %</t>
  </si>
  <si>
    <t xml:space="preserve">Obs.</t>
  </si>
  <si>
    <t xml:space="preserve">CPLE3 · Copel</t>
  </si>
  <si>
    <t xml:space="preserve">CPLE3</t>
  </si>
  <si>
    <t xml:space="preserve">ITSA4 · Itausa</t>
  </si>
  <si>
    <t xml:space="preserve">ITSA4</t>
  </si>
  <si>
    <t xml:space="preserve">RANI3 · Irani</t>
  </si>
  <si>
    <t xml:space="preserve">RANI3</t>
  </si>
  <si>
    <t xml:space="preserve">AZ Quest Luce Icatu Prev PGBL</t>
  </si>
  <si>
    <t xml:space="preserve">Western Asset US Index 500 FIF</t>
  </si>
  <si>
    <t xml:space="preserve">ACE Capital Multicenários FC FIF</t>
  </si>
  <si>
    <t xml:space="preserve">Trend Ouro FIF Multi RL</t>
  </si>
  <si>
    <t xml:space="preserve">parte em resgate</t>
  </si>
  <si>
    <t xml:space="preserve">Selection RF Light FIC FIRF CP LP</t>
  </si>
  <si>
    <t xml:space="preserve">liq. 24/jun</t>
  </si>
  <si>
    <t xml:space="preserve">Legacy Capital Compound Advisory FIF</t>
  </si>
  <si>
    <t xml:space="preserve">liq. 14/jul</t>
  </si>
  <si>
    <t xml:space="preserve">Trend Valor Brasil FIA RL</t>
  </si>
  <si>
    <t xml:space="preserve">entrada casa nova</t>
  </si>
  <si>
    <t xml:space="preserve">Trend Fixed Income US Target Duration</t>
  </si>
  <si>
    <t xml:space="preserve">resgate total</t>
  </si>
  <si>
    <t xml:space="preserve">BRST3 · BrasilAgro</t>
  </si>
  <si>
    <t xml:space="preserve">BRST3</t>
  </si>
  <si>
    <t xml:space="preserve">Itaú Kinea Andes Prev RF CP PGBL</t>
  </si>
  <si>
    <t xml:space="preserve">Cofrinhos ION</t>
  </si>
  <si>
    <t xml:space="preserve">rend 2026: R$335</t>
  </si>
  <si>
    <t xml:space="preserve">Itaú Kinea Andes RF CP LP</t>
  </si>
  <si>
    <t xml:space="preserve">saldo bruto</t>
  </si>
  <si>
    <t xml:space="preserve">Poupança MULTIDATA</t>
  </si>
  <si>
    <t xml:space="preserve">Schroder Icatu Prev Low Vol Multimercado</t>
  </si>
  <si>
    <t xml:space="preserve">confirme saldo no app</t>
  </si>
  <si>
    <t xml:space="preserve">Icatu Seg FIC Empresarial Renda Fixa</t>
  </si>
  <si>
    <t xml:space="preserve">Icatu Vanguarda Pós Fixado RF Prev</t>
  </si>
  <si>
    <t xml:space="preserve">Total geral</t>
  </si>
  <si>
    <t xml:space="preserve">Histórico mensal</t>
  </si>
  <si>
    <t xml:space="preserve">1x/mês: cole o Patrimônio e o Aplicado do Dashboard. Rendimento é calculado automaticamente.</t>
  </si>
  <si>
    <t xml:space="preserve">Mês</t>
  </si>
  <si>
    <t xml:space="preserve">Patrimônio Total</t>
  </si>
  <si>
    <t xml:space="preserve">Total Aplicado</t>
  </si>
  <si>
    <t xml:space="preserve">jan/26</t>
  </si>
  <si>
    <t xml:space="preserve">fev/26</t>
  </si>
  <si>
    <t xml:space="preserve">mar/26</t>
  </si>
  <si>
    <t xml:space="preserve">abr/26</t>
  </si>
  <si>
    <t xml:space="preserve">mai/26</t>
  </si>
  <si>
    <t xml:space="preserve">jun/26</t>
  </si>
  <si>
    <t xml:space="preserve">jul/26</t>
  </si>
  <si>
    <t xml:space="preserve">ago/26</t>
  </si>
  <si>
    <t xml:space="preserve">set/26</t>
  </si>
  <si>
    <t xml:space="preserve">out/26</t>
  </si>
  <si>
    <t xml:space="preserve">nov/26</t>
  </si>
  <si>
    <t xml:space="preserve">dez/26</t>
  </si>
  <si>
    <t xml:space="preserve">Instituições</t>
  </si>
  <si>
    <t xml:space="preserve">Classes</t>
  </si>
  <si>
    <t xml:space="preserve">Como usar</t>
  </si>
  <si>
    <t xml:space="preserve">1) Baixe e importe no Google Sheets: Drive → Novo → Fazer upload → abre o arquivo → Arquivo → Salvar como Planilha Google.</t>
  </si>
  <si>
    <t xml:space="preserve">Renda Fixa</t>
  </si>
  <si>
    <t xml:space="preserve">Outros</t>
  </si>
  <si>
    <t xml:space="preserve">Tesouro Direto</t>
  </si>
  <si>
    <t xml:space="preserve">2) CARTEIRA é o único lugar onde você digita. Cotações automáticas: CPLE3, ITSA4, RANI3, BRST3.</t>
  </si>
  <si>
    <t xml:space="preserve">3) Linhas ÂMBAR = fundos XP em resgate (entrada casa nova). Apague depois que liquidarem (24/jun e 14/jul).</t>
  </si>
  <si>
    <t xml:space="preserve">4) Onze: 'Valor investido' da tela pode ser o aportado — confirme o saldo atual no app e atualize coluna H.</t>
  </si>
  <si>
    <t xml:space="preserve">5) Itaú Kinea Andes PGBL e Cofrinhos: preencha 'Valor Aplicado' com o valor que você aportou no total.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</si>
</sst>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;[RED]&quot;-R$ &quot;#,##0"/>
    <numFmt numFmtId="166" formatCode="&quot;R$ &quot;#,##0.00;[RED]&quot;-R$ &quot;#,##0.00"/>
    <numFmt numFmtId="167" formatCode="0.0%;[RED]\-0.0%;\-"/>
    <numFmt numFmtId="168" formatCode="0.0%"/>
    <numFmt numFmtId="169" formatCode="#,##0.######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933"/>
      <name val="Arial"/>
      <family val="0"/>
      <charset val="1"/>
    </font>
    <font>
      <sz val="9"/>
      <color rgb="FF9AA5B1"/>
      <name val="Arial"/>
      <family val="0"/>
      <charset val="1"/>
    </font>
    <font>
      <b val="true"/>
      <sz val="9"/>
      <color rgb="FF9AA5B1"/>
      <name val="Arial"/>
      <family val="0"/>
      <charset val="1"/>
    </font>
    <font>
      <b val="true"/>
      <sz val="21"/>
      <color rgb="FF1F2933"/>
      <name val="Arial"/>
      <family val="0"/>
      <charset val="1"/>
    </font>
    <font>
      <b val="true"/>
      <sz val="21"/>
      <color rgb="FF2F8F4E"/>
      <name val="Arial"/>
      <family val="0"/>
      <charset val="1"/>
    </font>
    <font>
      <b val="true"/>
      <sz val="12"/>
      <color rgb="FF1F2933"/>
      <name val="Arial"/>
      <family val="0"/>
      <charset val="1"/>
    </font>
    <font>
      <sz val="10"/>
      <color rgb="FF3E4C59"/>
      <name val="Arial"/>
      <family val="0"/>
      <charset val="1"/>
    </font>
    <font>
      <sz val="10"/>
      <color rgb="FF1F2933"/>
      <name val="Arial"/>
      <family val="0"/>
      <charset val="1"/>
    </font>
    <font>
      <sz val="10"/>
      <color rgb="FF9AA5B1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1F2933"/>
      <name val="Arial"/>
      <family val="0"/>
      <charset val="1"/>
    </font>
    <font>
      <b val="true"/>
      <sz val="9"/>
      <color rgb="FF1F2933"/>
      <name val="Arial"/>
      <family val="0"/>
      <charset val="1"/>
    </font>
    <font>
      <sz val="10"/>
      <color rgb="FF92400E"/>
      <name val="Arial"/>
      <family val="0"/>
      <charset val="1"/>
    </font>
    <font>
      <b val="true"/>
      <sz val="11"/>
      <color rgb="FF1F2933"/>
      <name val="Arial"/>
      <family val="0"/>
      <charset val="1"/>
    </font>
    <font>
      <sz val="10"/>
      <color rgb="FF2F8F4E"/>
      <name val="Arial"/>
      <family val="0"/>
      <charset val="1"/>
    </font>
    <font>
      <b val="true"/>
      <sz val="13"/>
      <color rgb="FF1F2933"/>
      <name val="Arial"/>
      <family val="0"/>
      <charset val="1"/>
    </font>
    <font>
      <sz val="10"/>
      <color rgb="FF5A667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6F8FA"/>
        <bgColor rgb="FFFFFBEB"/>
      </patternFill>
    </fill>
    <fill>
      <patternFill patternType="solid">
        <fgColor rgb="FFFFFFFF"/>
        <bgColor rgb="FFFFFBEB"/>
      </patternFill>
    </fill>
    <fill>
      <patternFill patternType="solid">
        <fgColor rgb="FFFFFBEB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DCE1"/>
      </bottom>
      <diagonal/>
    </border>
    <border diagonalUp="false" diagonalDown="false">
      <left/>
      <right/>
      <top/>
      <bottom style="thin">
        <color rgb="FFEAEDF0"/>
      </bottom>
      <diagonal/>
    </border>
    <border diagonalUp="false" diagonalDown="false">
      <left/>
      <right/>
      <top style="thin">
        <color rgb="FF1F2933"/>
      </top>
      <bottom/>
      <diagonal/>
    </border>
    <border diagonalUp="false" diagonalDown="false">
      <left/>
      <right/>
      <top/>
      <bottom style="thin">
        <color rgb="FF1F2933"/>
      </bottom>
      <diagonal/>
    </border>
    <border diagonalUp="false" diagonalDown="false">
      <left/>
      <right/>
      <top/>
      <bottom style="thin">
        <color rgb="FFFCD34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E6E78"/>
      <rgbColor rgb="FFD9D9D9"/>
      <rgbColor rgb="FF878787"/>
      <rgbColor rgb="FF5E929C"/>
      <rgbColor rgb="FF993366"/>
      <rgbColor rgb="FFFFFBEB"/>
      <rgbColor rgb="FFEAEDF0"/>
      <rgbColor rgb="FF660066"/>
      <rgbColor rgb="FFFF8080"/>
      <rgbColor rgb="FF0066CC"/>
      <rgbColor rgb="FFC8DB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8FA"/>
      <rgbColor rgb="FFD7DCE1"/>
      <rgbColor rgb="FFFFFF99"/>
      <rgbColor rgb="FF93B8BF"/>
      <rgbColor rgb="FFFF99CC"/>
      <rgbColor rgb="FFCC99FF"/>
      <rgbColor rgb="FFFCD34D"/>
      <rgbColor rgb="FF4F81BD"/>
      <rgbColor rgb="FF33CCCC"/>
      <rgbColor rgb="FF99CC00"/>
      <rgbColor rgb="FFFFCC00"/>
      <rgbColor rgb="FFFF9900"/>
      <rgbColor rgb="FFFF6600"/>
      <rgbColor rgb="FF5A6672"/>
      <rgbColor rgb="FF9AA5B1"/>
      <rgbColor rgb="FF2A4D55"/>
      <rgbColor rgb="FF2F8F4E"/>
      <rgbColor rgb="FF003300"/>
      <rgbColor rgb="FF333300"/>
      <rgbColor rgb="FF92400E"/>
      <rgbColor rgb="FF993366"/>
      <rgbColor rgb="FF3E4C5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 classe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Dashboard!C21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4d55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3e6e78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5e929c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93b8bf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c8dbde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Dashboard!$B$22:$B$26</c:f>
              <c:strCache>
                <c:ptCount val="5"/>
                <c:pt idx="0">
                  <c:v>Ação/FII</c:v>
                </c:pt>
                <c:pt idx="1">
                  <c:v>Fundo</c:v>
                </c:pt>
                <c:pt idx="2">
                  <c:v>Previdência</c:v>
                </c:pt>
                <c:pt idx="3">
                  <c:v>Cofrinhos</c:v>
                </c:pt>
                <c:pt idx="4">
                  <c:v>Poupança</c:v>
                </c:pt>
              </c:strCache>
            </c:strRef>
          </c:cat>
          <c:val>
            <c:numRef>
              <c:f>Dashboard!$C$22:$C$26</c:f>
              <c:numCache>
                <c:formatCode>"R$ "#,##0;[RED]"-R$ "#,##0</c:formatCode>
                <c:ptCount val="5"/>
                <c:pt idx="0">
                  <c:v>1706.45</c:v>
                </c:pt>
                <c:pt idx="1">
                  <c:v>13982.08</c:v>
                </c:pt>
                <c:pt idx="2">
                  <c:v>125490.17</c:v>
                </c:pt>
                <c:pt idx="3">
                  <c:v>21867.67</c:v>
                </c:pt>
                <c:pt idx="4">
                  <c:v>302.01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do patrimônio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Histórico!C4</c:f>
              <c:strCache>
                <c:ptCount val="1"/>
                <c:pt idx="0">
                  <c:v>Patrimônio Total</c:v>
                </c:pt>
              </c:strCache>
            </c:strRef>
          </c:tx>
          <c:spPr>
            <a:solidFill>
              <a:srgbClr val="3e6e78"/>
            </a:solidFill>
            <a:ln w="20160">
              <a:solidFill>
                <a:srgbClr val="3e6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Histórico!$B$5:$B$16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Histórico!$C$5:$C$16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199869"/>
        <c:axId val="54973798"/>
      </c:lineChart>
      <c:catAx>
        <c:axId val="921998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73798"/>
        <c:crosses val="autoZero"/>
        <c:auto val="1"/>
        <c:lblAlgn val="ctr"/>
        <c:lblOffset val="100"/>
        <c:noMultiLvlLbl val="0"/>
      </c:catAx>
      <c:valAx>
        <c:axId val="54973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998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12</xdr:row>
      <xdr:rowOff>0</xdr:rowOff>
    </xdr:from>
    <xdr:to>
      <xdr:col>9</xdr:col>
      <xdr:colOff>678240</xdr:colOff>
      <xdr:row>27</xdr:row>
      <xdr:rowOff>94320</xdr:rowOff>
    </xdr:to>
    <xdr:graphicFrame>
      <xdr:nvGraphicFramePr>
        <xdr:cNvPr id="0" name="Chart 1"/>
        <xdr:cNvGraphicFramePr/>
      </xdr:nvGraphicFramePr>
      <xdr:xfrm>
        <a:off x="3594600" y="2857680"/>
        <a:ext cx="37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507600</xdr:colOff>
      <xdr:row>17</xdr:row>
      <xdr:rowOff>32400</xdr:rowOff>
    </xdr:to>
    <xdr:graphicFrame>
      <xdr:nvGraphicFramePr>
        <xdr:cNvPr id="1" name="Chart 1"/>
        <xdr:cNvGraphicFramePr/>
      </xdr:nvGraphicFramePr>
      <xdr:xfrm>
        <a:off x="5334120" y="6476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4"/>
    <col collapsed="false" customWidth="true" hidden="false" outlineLevel="0" max="10" min="6" style="0" width="11"/>
  </cols>
  <sheetData>
    <row r="2" customFormat="false" ht="30" hidden="false" customHeight="tru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6" customFormat="false" ht="15.75" hidden="false" customHeight="true" outlineLevel="0" collapsed="false">
      <c r="B6" s="3" t="s">
        <v>2</v>
      </c>
      <c r="C6" s="3"/>
      <c r="F6" s="3" t="s">
        <v>3</v>
      </c>
      <c r="G6" s="3"/>
    </row>
    <row r="7" customFormat="false" ht="30" hidden="false" customHeight="true" outlineLevel="0" collapsed="false">
      <c r="B7" s="4" t="n">
        <f aca="false">Carteira!I24</f>
        <v>163348.38</v>
      </c>
      <c r="C7" s="4"/>
      <c r="F7" s="4" t="n">
        <f aca="false">Carteira!F24</f>
        <v>104577.69</v>
      </c>
      <c r="G7" s="4"/>
    </row>
    <row r="9" customFormat="false" ht="15.75" hidden="false" customHeight="true" outlineLevel="0" collapsed="false">
      <c r="B9" s="3" t="s">
        <v>4</v>
      </c>
      <c r="C9" s="3"/>
      <c r="F9" s="3" t="s">
        <v>5</v>
      </c>
      <c r="G9" s="3"/>
    </row>
    <row r="10" customFormat="false" ht="30" hidden="false" customHeight="true" outlineLevel="0" collapsed="false">
      <c r="B10" s="5" t="n">
        <f aca="false">Carteira!J24</f>
        <v>58770.69</v>
      </c>
      <c r="C10" s="5"/>
      <c r="F10" s="6" t="n">
        <f aca="false">Carteira!K24</f>
        <v>0.561981145309291</v>
      </c>
      <c r="G10" s="6"/>
    </row>
    <row r="11" customFormat="false" ht="13.5" hidden="false" customHeight="true" outlineLevel="0" collapsed="false"/>
    <row r="13" customFormat="false" ht="15" hidden="false" customHeight="false" outlineLevel="0" collapsed="false">
      <c r="B13" s="7" t="s">
        <v>6</v>
      </c>
      <c r="C13" s="7"/>
      <c r="D13" s="7"/>
    </row>
    <row r="14" customFormat="false" ht="15" hidden="false" customHeight="false" outlineLevel="0" collapsed="false">
      <c r="B14" s="8"/>
      <c r="C14" s="9" t="s">
        <v>7</v>
      </c>
      <c r="D14" s="9" t="s">
        <v>8</v>
      </c>
    </row>
    <row r="15" customFormat="false" ht="15" hidden="false" customHeight="false" outlineLevel="0" collapsed="false">
      <c r="B15" s="10" t="s">
        <v>9</v>
      </c>
      <c r="C15" s="11" t="n">
        <f aca="false">SUMIF(Carteira!$A$5:$A$23,$B15,Carteira!$I$5:$I$23)</f>
        <v>24896.17</v>
      </c>
      <c r="D15" s="12" t="n">
        <f aca="false">IFERROR(C15/$C$18,"")</f>
        <v>0.152411490092525</v>
      </c>
    </row>
    <row r="16" customFormat="false" ht="15" hidden="false" customHeight="false" outlineLevel="0" collapsed="false">
      <c r="B16" s="10" t="s">
        <v>10</v>
      </c>
      <c r="C16" s="11" t="n">
        <f aca="false">SUMIF(Carteira!$A$5:$A$23,$B16,Carteira!$I$5:$I$23)</f>
        <v>55890.66</v>
      </c>
      <c r="D16" s="12" t="n">
        <f aca="false">IFERROR(C16/$C$18,"")</f>
        <v>0.342156194019188</v>
      </c>
    </row>
    <row r="17" customFormat="false" ht="15" hidden="false" customHeight="false" outlineLevel="0" collapsed="false">
      <c r="B17" s="10" t="s">
        <v>11</v>
      </c>
      <c r="C17" s="11" t="n">
        <f aca="false">SUMIF(Carteira!$A$5:$A$23,$B17,Carteira!$I$5:$I$23)</f>
        <v>82561.55</v>
      </c>
      <c r="D17" s="12" t="n">
        <f aca="false">IFERROR(C17/$C$18,"")</f>
        <v>0.505432315888287</v>
      </c>
    </row>
    <row r="18" customFormat="false" ht="15" hidden="false" customHeight="false" outlineLevel="0" collapsed="false">
      <c r="B18" s="13" t="s">
        <v>12</v>
      </c>
      <c r="C18" s="14" t="n">
        <f aca="false">Carteira!I24</f>
        <v>163348.38</v>
      </c>
      <c r="D18" s="15"/>
    </row>
    <row r="20" customFormat="false" ht="15" hidden="false" customHeight="false" outlineLevel="0" collapsed="false">
      <c r="B20" s="7" t="s">
        <v>13</v>
      </c>
      <c r="C20" s="7"/>
      <c r="D20" s="7"/>
    </row>
    <row r="21" customFormat="false" ht="15" hidden="false" customHeight="false" outlineLevel="0" collapsed="false">
      <c r="B21" s="8"/>
      <c r="C21" s="9" t="s">
        <v>7</v>
      </c>
      <c r="D21" s="9" t="s">
        <v>8</v>
      </c>
    </row>
    <row r="22" customFormat="false" ht="15" hidden="false" customHeight="false" outlineLevel="0" collapsed="false">
      <c r="B22" s="10" t="s">
        <v>14</v>
      </c>
      <c r="C22" s="11" t="n">
        <f aca="false">SUMIF(Carteira!$B$5:$B$23,$B22,Carteira!$I$5:$I$23)</f>
        <v>1706.45</v>
      </c>
      <c r="D22" s="12" t="n">
        <f aca="false">IFERROR(C22/$C$27,"")</f>
        <v>0.0104466906864947</v>
      </c>
    </row>
    <row r="23" customFormat="false" ht="15" hidden="false" customHeight="false" outlineLevel="0" collapsed="false">
      <c r="B23" s="10" t="s">
        <v>15</v>
      </c>
      <c r="C23" s="11" t="n">
        <f aca="false">SUMIF(Carteira!$B$5:$B$23,$B23,Carteira!$I$5:$I$23)</f>
        <v>13982.08</v>
      </c>
      <c r="D23" s="12" t="n">
        <f aca="false">IFERROR(C23/$C$27,"")</f>
        <v>0.0855966860522278</v>
      </c>
    </row>
    <row r="24" customFormat="false" ht="15" hidden="false" customHeight="false" outlineLevel="0" collapsed="false">
      <c r="B24" s="10" t="s">
        <v>16</v>
      </c>
      <c r="C24" s="11" t="n">
        <f aca="false">SUMIF(Carteira!$B$5:$B$23,$B24,Carteira!$I$5:$I$23)</f>
        <v>125490.17</v>
      </c>
      <c r="D24" s="12" t="n">
        <f aca="false">IFERROR(C24/$C$27,"")</f>
        <v>0.768236391447531</v>
      </c>
    </row>
    <row r="25" customFormat="false" ht="15" hidden="false" customHeight="false" outlineLevel="0" collapsed="false">
      <c r="B25" s="10" t="s">
        <v>17</v>
      </c>
      <c r="C25" s="11" t="n">
        <f aca="false">SUMIF(Carteira!$B$5:$B$23,$B25,Carteira!$I$5:$I$23)</f>
        <v>21867.67</v>
      </c>
      <c r="D25" s="12" t="n">
        <f aca="false">IFERROR(C25/$C$27,"")</f>
        <v>0.133871361319898</v>
      </c>
    </row>
    <row r="26" customFormat="false" ht="15" hidden="false" customHeight="false" outlineLevel="0" collapsed="false">
      <c r="B26" s="10" t="s">
        <v>18</v>
      </c>
      <c r="C26" s="11" t="n">
        <f aca="false">SUMIF(Carteira!$B$5:$B$23,$B26,Carteira!$I$5:$I$23)</f>
        <v>302.01</v>
      </c>
      <c r="D26" s="12" t="n">
        <f aca="false">IFERROR(C26/$C$27,"")</f>
        <v>0.00184887049384879</v>
      </c>
    </row>
    <row r="27" customFormat="false" ht="15" hidden="false" customHeight="false" outlineLevel="0" collapsed="false">
      <c r="B27" s="13" t="s">
        <v>12</v>
      </c>
      <c r="C27" s="14" t="n">
        <f aca="false">Carteira!I24</f>
        <v>163348.38</v>
      </c>
      <c r="D27" s="15"/>
    </row>
  </sheetData>
  <mergeCells count="12">
    <mergeCell ref="B2:D2"/>
    <mergeCell ref="B3:G3"/>
    <mergeCell ref="B6:C6"/>
    <mergeCell ref="F6:G6"/>
    <mergeCell ref="B7:C7"/>
    <mergeCell ref="F7:G7"/>
    <mergeCell ref="B9:C9"/>
    <mergeCell ref="F9:G9"/>
    <mergeCell ref="B10:C10"/>
    <mergeCell ref="F10:G10"/>
    <mergeCell ref="B13:D13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10" min="9" style="0" width="13"/>
    <col collapsed="false" customWidth="true" hidden="false" outlineLevel="0" max="11" min="11" style="0" width="9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16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customFormat="false" ht="15.75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25.5" hidden="false" customHeight="true" outlineLevel="0" collapsed="false">
      <c r="A4" s="17" t="s">
        <v>21</v>
      </c>
      <c r="B4" s="17" t="s">
        <v>22</v>
      </c>
      <c r="C4" s="17" t="s">
        <v>23</v>
      </c>
      <c r="D4" s="17" t="s">
        <v>24</v>
      </c>
      <c r="E4" s="17" t="s">
        <v>25</v>
      </c>
      <c r="F4" s="17" t="s">
        <v>26</v>
      </c>
      <c r="G4" s="17" t="s">
        <v>27</v>
      </c>
      <c r="H4" s="17" t="s">
        <v>28</v>
      </c>
      <c r="I4" s="17" t="s">
        <v>29</v>
      </c>
      <c r="J4" s="17" t="s">
        <v>30</v>
      </c>
      <c r="K4" s="17" t="s">
        <v>31</v>
      </c>
      <c r="L4" s="17" t="s">
        <v>32</v>
      </c>
    </row>
    <row r="5" customFormat="false" ht="15" hidden="false" customHeight="false" outlineLevel="0" collapsed="false">
      <c r="A5" s="18" t="s">
        <v>9</v>
      </c>
      <c r="B5" s="18" t="s">
        <v>14</v>
      </c>
      <c r="C5" s="18" t="s">
        <v>33</v>
      </c>
      <c r="D5" s="19" t="s">
        <v>34</v>
      </c>
      <c r="E5" s="20" t="n">
        <v>28</v>
      </c>
      <c r="F5" s="21" t="n">
        <v>373.52</v>
      </c>
      <c r="G5" s="21" t="str">
        <f aca="false">IFERROR(googlefinance("BVMF:"&amp;D5),"")</f>
        <v/>
      </c>
      <c r="H5" s="21"/>
      <c r="I5" s="21" t="n">
        <f aca="false">IF(D5&lt;&gt;"",IF(ISNUMBER(G5),E5*G5,F5),IF(H5&lt;&gt;"",H5,IF(F5&lt;&gt;"",F5,"")))</f>
        <v>373.52</v>
      </c>
      <c r="J5" s="21" t="n">
        <f aca="false">IF(OR(F5="",I5=""),"",I5-F5)</f>
        <v>0</v>
      </c>
      <c r="K5" s="22" t="n">
        <f aca="false">IFERROR((I5-F5)/F5,"")</f>
        <v>0</v>
      </c>
      <c r="L5" s="18"/>
    </row>
    <row r="6" customFormat="false" ht="15" hidden="false" customHeight="false" outlineLevel="0" collapsed="false">
      <c r="A6" s="18" t="s">
        <v>9</v>
      </c>
      <c r="B6" s="18" t="s">
        <v>14</v>
      </c>
      <c r="C6" s="18" t="s">
        <v>35</v>
      </c>
      <c r="D6" s="19" t="s">
        <v>36</v>
      </c>
      <c r="E6" s="20" t="n">
        <v>27</v>
      </c>
      <c r="F6" s="21" t="n">
        <v>373.68</v>
      </c>
      <c r="G6" s="21" t="str">
        <f aca="false">IFERROR(googlefinance("BVMF:"&amp;D6),"")</f>
        <v/>
      </c>
      <c r="H6" s="21"/>
      <c r="I6" s="21" t="n">
        <f aca="false">IF(D6&lt;&gt;"",IF(ISNUMBER(G6),E6*G6,F6),IF(H6&lt;&gt;"",H6,IF(F6&lt;&gt;"",F6,"")))</f>
        <v>373.68</v>
      </c>
      <c r="J6" s="21" t="n">
        <f aca="false">IF(OR(F6="",I6=""),"",I6-F6)</f>
        <v>0</v>
      </c>
      <c r="K6" s="22" t="n">
        <f aca="false">IFERROR((I6-F6)/F6,"")</f>
        <v>0</v>
      </c>
      <c r="L6" s="18"/>
    </row>
    <row r="7" customFormat="false" ht="15" hidden="false" customHeight="false" outlineLevel="0" collapsed="false">
      <c r="A7" s="18" t="s">
        <v>9</v>
      </c>
      <c r="B7" s="18" t="s">
        <v>14</v>
      </c>
      <c r="C7" s="18" t="s">
        <v>37</v>
      </c>
      <c r="D7" s="19" t="s">
        <v>38</v>
      </c>
      <c r="E7" s="20" t="n">
        <v>41</v>
      </c>
      <c r="F7" s="21" t="n">
        <v>373.1</v>
      </c>
      <c r="G7" s="21" t="str">
        <f aca="false">IFERROR(googlefinance("BVMF:"&amp;D7),"")</f>
        <v/>
      </c>
      <c r="H7" s="21"/>
      <c r="I7" s="21" t="n">
        <f aca="false">IF(D7&lt;&gt;"",IF(ISNUMBER(G7),E7*G7,F7),IF(H7&lt;&gt;"",H7,IF(F7&lt;&gt;"",F7,"")))</f>
        <v>373.1</v>
      </c>
      <c r="J7" s="21" t="n">
        <f aca="false">IF(OR(F7="",I7=""),"",I7-F7)</f>
        <v>0</v>
      </c>
      <c r="K7" s="22" t="n">
        <f aca="false">IFERROR((I7-F7)/F7,"")</f>
        <v>0</v>
      </c>
      <c r="L7" s="18"/>
    </row>
    <row r="8" customFormat="false" ht="15" hidden="false" customHeight="false" outlineLevel="0" collapsed="false">
      <c r="A8" s="18" t="s">
        <v>9</v>
      </c>
      <c r="B8" s="18" t="s">
        <v>16</v>
      </c>
      <c r="C8" s="18" t="s">
        <v>39</v>
      </c>
      <c r="D8" s="19"/>
      <c r="E8" s="20"/>
      <c r="F8" s="21" t="n">
        <v>10000</v>
      </c>
      <c r="G8" s="21" t="str">
        <f aca="false">IFERROR(googlefinance("BVMF:"&amp;D8),"")</f>
        <v/>
      </c>
      <c r="H8" s="21" t="n">
        <v>12362.16</v>
      </c>
      <c r="I8" s="21" t="n">
        <f aca="false">IF(D8&lt;&gt;"",IF(ISNUMBER(G8),E8*G8,F8),IF(H8&lt;&gt;"",H8,IF(F8&lt;&gt;"",F8,"")))</f>
        <v>12362.16</v>
      </c>
      <c r="J8" s="21" t="n">
        <f aca="false">IF(OR(F8="",I8=""),"",I8-F8)</f>
        <v>2362.16</v>
      </c>
      <c r="K8" s="22" t="n">
        <f aca="false">IFERROR((I8-F8)/F8,"")</f>
        <v>0.236216</v>
      </c>
      <c r="L8" s="18"/>
    </row>
    <row r="9" customFormat="false" ht="15" hidden="false" customHeight="false" outlineLevel="0" collapsed="false">
      <c r="A9" s="18" t="s">
        <v>9</v>
      </c>
      <c r="B9" s="18" t="s">
        <v>15</v>
      </c>
      <c r="C9" s="18" t="s">
        <v>40</v>
      </c>
      <c r="D9" s="19"/>
      <c r="E9" s="20"/>
      <c r="F9" s="21" t="n">
        <v>4150.21</v>
      </c>
      <c r="G9" s="21" t="str">
        <f aca="false">IFERROR(googlefinance("BVMF:"&amp;D9),"")</f>
        <v/>
      </c>
      <c r="H9" s="21" t="n">
        <v>4562.77</v>
      </c>
      <c r="I9" s="21" t="n">
        <f aca="false">IF(D9&lt;&gt;"",IF(ISNUMBER(G9),E9*G9,F9),IF(H9&lt;&gt;"",H9,IF(F9&lt;&gt;"",F9,"")))</f>
        <v>4562.77</v>
      </c>
      <c r="J9" s="21" t="n">
        <f aca="false">IF(OR(F9="",I9=""),"",I9-F9)</f>
        <v>412.56</v>
      </c>
      <c r="K9" s="22" t="n">
        <f aca="false">IFERROR((I9-F9)/F9,"")</f>
        <v>0.0994070179581275</v>
      </c>
      <c r="L9" s="18"/>
    </row>
    <row r="10" customFormat="false" ht="15" hidden="false" customHeight="false" outlineLevel="0" collapsed="false">
      <c r="A10" s="18" t="s">
        <v>9</v>
      </c>
      <c r="B10" s="18" t="s">
        <v>15</v>
      </c>
      <c r="C10" s="18" t="s">
        <v>41</v>
      </c>
      <c r="D10" s="19"/>
      <c r="E10" s="20"/>
      <c r="F10" s="21" t="n">
        <v>1447.64</v>
      </c>
      <c r="G10" s="21" t="str">
        <f aca="false">IFERROR(googlefinance("BVMF:"&amp;D10),"")</f>
        <v/>
      </c>
      <c r="H10" s="21" t="n">
        <v>1478.02</v>
      </c>
      <c r="I10" s="21" t="n">
        <f aca="false">IF(D10&lt;&gt;"",IF(ISNUMBER(G10),E10*G10,F10),IF(H10&lt;&gt;"",H10,IF(F10&lt;&gt;"",F10,"")))</f>
        <v>1478.02</v>
      </c>
      <c r="J10" s="21" t="n">
        <f aca="false">IF(OR(F10="",I10=""),"",I10-F10)</f>
        <v>30.3799999999999</v>
      </c>
      <c r="K10" s="22" t="n">
        <f aca="false">IFERROR((I10-F10)/F10,"")</f>
        <v>0.0209858804675195</v>
      </c>
      <c r="L10" s="18"/>
    </row>
    <row r="11" customFormat="false" ht="15" hidden="false" customHeight="false" outlineLevel="0" collapsed="false">
      <c r="A11" s="18" t="s">
        <v>9</v>
      </c>
      <c r="B11" s="18" t="s">
        <v>15</v>
      </c>
      <c r="C11" s="18" t="s">
        <v>42</v>
      </c>
      <c r="D11" s="19"/>
      <c r="E11" s="20"/>
      <c r="F11" s="21" t="n">
        <v>952.87</v>
      </c>
      <c r="G11" s="21" t="str">
        <f aca="false">IFERROR(googlefinance("BVMF:"&amp;D11),"")</f>
        <v/>
      </c>
      <c r="H11" s="21" t="n">
        <v>1261.6</v>
      </c>
      <c r="I11" s="21" t="n">
        <f aca="false">IF(D11&lt;&gt;"",IF(ISNUMBER(G11),E11*G11,F11),IF(H11&lt;&gt;"",H11,IF(F11&lt;&gt;"",F11,"")))</f>
        <v>1261.6</v>
      </c>
      <c r="J11" s="21" t="n">
        <f aca="false">IF(OR(F11="",I11=""),"",I11-F11)</f>
        <v>308.73</v>
      </c>
      <c r="K11" s="22" t="n">
        <f aca="false">IFERROR((I11-F11)/F11,"")</f>
        <v>0.324000125935332</v>
      </c>
      <c r="L11" s="18" t="s">
        <v>43</v>
      </c>
    </row>
    <row r="12" customFormat="false" ht="15" hidden="false" customHeight="false" outlineLevel="0" collapsed="false">
      <c r="A12" s="23" t="s">
        <v>9</v>
      </c>
      <c r="B12" s="23" t="s">
        <v>15</v>
      </c>
      <c r="C12" s="23" t="s">
        <v>44</v>
      </c>
      <c r="D12" s="24"/>
      <c r="E12" s="25"/>
      <c r="F12" s="26" t="n">
        <v>984.64</v>
      </c>
      <c r="G12" s="26" t="str">
        <f aca="false">IFERROR(googlefinance("BVMF:"&amp;D12),"")</f>
        <v/>
      </c>
      <c r="H12" s="26" t="n">
        <v>1099.5</v>
      </c>
      <c r="I12" s="26" t="n">
        <f aca="false">IF(D12&lt;&gt;"",IF(ISNUMBER(G12),E12*G12,F12),IF(H12&lt;&gt;"",H12,IF(F12&lt;&gt;"",F12,"")))</f>
        <v>1099.5</v>
      </c>
      <c r="J12" s="26" t="n">
        <f aca="false">IF(OR(F12="",I12=""),"",I12-F12)</f>
        <v>114.86</v>
      </c>
      <c r="K12" s="27" t="n">
        <f aca="false">IFERROR((I12-F12)/F12,"")</f>
        <v>0.11665177120572</v>
      </c>
      <c r="L12" s="23" t="s">
        <v>45</v>
      </c>
    </row>
    <row r="13" customFormat="false" ht="15" hidden="false" customHeight="false" outlineLevel="0" collapsed="false">
      <c r="A13" s="23" t="s">
        <v>9</v>
      </c>
      <c r="B13" s="23" t="s">
        <v>15</v>
      </c>
      <c r="C13" s="23" t="s">
        <v>46</v>
      </c>
      <c r="D13" s="24"/>
      <c r="E13" s="25"/>
      <c r="F13" s="26" t="n">
        <v>1900</v>
      </c>
      <c r="G13" s="26" t="str">
        <f aca="false">IFERROR(googlefinance("BVMF:"&amp;D13),"")</f>
        <v/>
      </c>
      <c r="H13" s="26" t="n">
        <v>1999.63</v>
      </c>
      <c r="I13" s="26" t="n">
        <f aca="false">IF(D13&lt;&gt;"",IF(ISNUMBER(G13),E13*G13,F13),IF(H13&lt;&gt;"",H13,IF(F13&lt;&gt;"",F13,"")))</f>
        <v>1999.63</v>
      </c>
      <c r="J13" s="26" t="n">
        <f aca="false">IF(OR(F13="",I13=""),"",I13-F13)</f>
        <v>99.6300000000001</v>
      </c>
      <c r="K13" s="27" t="n">
        <f aca="false">IFERROR((I13-F13)/F13,"")</f>
        <v>0.0524368421052632</v>
      </c>
      <c r="L13" s="23" t="s">
        <v>47</v>
      </c>
    </row>
    <row r="14" customFormat="false" ht="15" hidden="false" customHeight="false" outlineLevel="0" collapsed="false">
      <c r="A14" s="23" t="s">
        <v>9</v>
      </c>
      <c r="B14" s="23" t="s">
        <v>15</v>
      </c>
      <c r="C14" s="23" t="s">
        <v>48</v>
      </c>
      <c r="D14" s="24"/>
      <c r="E14" s="25"/>
      <c r="F14" s="26" t="n">
        <v>750</v>
      </c>
      <c r="G14" s="26" t="str">
        <f aca="false">IFERROR(googlefinance("BVMF:"&amp;D14),"")</f>
        <v/>
      </c>
      <c r="H14" s="26" t="n">
        <v>877.1</v>
      </c>
      <c r="I14" s="26" t="n">
        <f aca="false">IF(D14&lt;&gt;"",IF(ISNUMBER(G14),E14*G14,F14),IF(H14&lt;&gt;"",H14,IF(F14&lt;&gt;"",F14,"")))</f>
        <v>877.1</v>
      </c>
      <c r="J14" s="26" t="n">
        <f aca="false">IF(OR(F14="",I14=""),"",I14-F14)</f>
        <v>127.1</v>
      </c>
      <c r="K14" s="27" t="n">
        <f aca="false">IFERROR((I14-F14)/F14,"")</f>
        <v>0.169466666666667</v>
      </c>
      <c r="L14" s="23" t="s">
        <v>49</v>
      </c>
    </row>
    <row r="15" customFormat="false" ht="15" hidden="false" customHeight="false" outlineLevel="0" collapsed="false">
      <c r="A15" s="23" t="s">
        <v>9</v>
      </c>
      <c r="B15" s="23" t="s">
        <v>15</v>
      </c>
      <c r="C15" s="23" t="s">
        <v>50</v>
      </c>
      <c r="D15" s="24"/>
      <c r="E15" s="25"/>
      <c r="F15" s="26" t="n">
        <v>124.33</v>
      </c>
      <c r="G15" s="26" t="str">
        <f aca="false">IFERROR(googlefinance("BVMF:"&amp;D15),"")</f>
        <v/>
      </c>
      <c r="H15" s="26" t="n">
        <v>135.09</v>
      </c>
      <c r="I15" s="26" t="n">
        <f aca="false">IF(D15&lt;&gt;"",IF(ISNUMBER(G15),E15*G15,F15),IF(H15&lt;&gt;"",H15,IF(F15&lt;&gt;"",F15,"")))</f>
        <v>135.09</v>
      </c>
      <c r="J15" s="26" t="n">
        <f aca="false">IF(OR(F15="",I15=""),"",I15-F15)</f>
        <v>10.76</v>
      </c>
      <c r="K15" s="27" t="n">
        <f aca="false">IFERROR((I15-F15)/F15,"")</f>
        <v>0.0865438751709162</v>
      </c>
      <c r="L15" s="23" t="s">
        <v>51</v>
      </c>
    </row>
    <row r="16" customFormat="false" ht="15" hidden="false" customHeight="false" outlineLevel="0" collapsed="false">
      <c r="A16" s="18" t="s">
        <v>10</v>
      </c>
      <c r="B16" s="18" t="s">
        <v>14</v>
      </c>
      <c r="C16" s="18" t="s">
        <v>52</v>
      </c>
      <c r="D16" s="19" t="s">
        <v>53</v>
      </c>
      <c r="E16" s="20" t="n">
        <v>200</v>
      </c>
      <c r="F16" s="21" t="n">
        <v>586.15</v>
      </c>
      <c r="G16" s="21" t="str">
        <f aca="false">IFERROR(googlefinance("BVMF:"&amp;D16),"")</f>
        <v/>
      </c>
      <c r="H16" s="21"/>
      <c r="I16" s="21" t="n">
        <f aca="false">IF(D16&lt;&gt;"",IF(ISNUMBER(G16),E16*G16,F16),IF(H16&lt;&gt;"",H16,IF(F16&lt;&gt;"",F16,"")))</f>
        <v>586.15</v>
      </c>
      <c r="J16" s="21" t="n">
        <f aca="false">IF(OR(F16="",I16=""),"",I16-F16)</f>
        <v>0</v>
      </c>
      <c r="K16" s="22" t="n">
        <f aca="false">IFERROR((I16-F16)/F16,"")</f>
        <v>0</v>
      </c>
      <c r="L16" s="18"/>
    </row>
    <row r="17" customFormat="false" ht="15" hidden="false" customHeight="false" outlineLevel="0" collapsed="false">
      <c r="A17" s="18" t="s">
        <v>10</v>
      </c>
      <c r="B17" s="18" t="s">
        <v>16</v>
      </c>
      <c r="C17" s="18" t="s">
        <v>54</v>
      </c>
      <c r="D17" s="19"/>
      <c r="E17" s="20"/>
      <c r="F17" s="21"/>
      <c r="G17" s="21" t="str">
        <f aca="false">IFERROR(googlefinance("BVMF:"&amp;D17),"")</f>
        <v/>
      </c>
      <c r="H17" s="21" t="n">
        <v>30566.46</v>
      </c>
      <c r="I17" s="21" t="n">
        <f aca="false">IF(D17&lt;&gt;"",IF(ISNUMBER(G17),E17*G17,F17),IF(H17&lt;&gt;"",H17,IF(F17&lt;&gt;"",F17,"")))</f>
        <v>30566.46</v>
      </c>
      <c r="J17" s="21" t="str">
        <f aca="false">IF(OR(F17="",I17=""),"",I17-F17)</f>
        <v/>
      </c>
      <c r="K17" s="22" t="str">
        <f aca="false">IFERROR((I17-F17)/F17,"")</f>
        <v/>
      </c>
      <c r="L17" s="18"/>
    </row>
    <row r="18" customFormat="false" ht="15" hidden="false" customHeight="false" outlineLevel="0" collapsed="false">
      <c r="A18" s="18" t="s">
        <v>10</v>
      </c>
      <c r="B18" s="18" t="s">
        <v>17</v>
      </c>
      <c r="C18" s="18" t="s">
        <v>55</v>
      </c>
      <c r="D18" s="19"/>
      <c r="E18" s="20"/>
      <c r="F18" s="21"/>
      <c r="G18" s="21" t="str">
        <f aca="false">IFERROR(googlefinance("BVMF:"&amp;D18),"")</f>
        <v/>
      </c>
      <c r="H18" s="21" t="n">
        <v>21867.67</v>
      </c>
      <c r="I18" s="21" t="n">
        <f aca="false">IF(D18&lt;&gt;"",IF(ISNUMBER(G18),E18*G18,F18),IF(H18&lt;&gt;"",H18,IF(F18&lt;&gt;"",F18,"")))</f>
        <v>21867.67</v>
      </c>
      <c r="J18" s="21" t="str">
        <f aca="false">IF(OR(F18="",I18=""),"",I18-F18)</f>
        <v/>
      </c>
      <c r="K18" s="22" t="str">
        <f aca="false">IFERROR((I18-F18)/F18,"")</f>
        <v/>
      </c>
      <c r="L18" s="18" t="s">
        <v>56</v>
      </c>
    </row>
    <row r="19" customFormat="false" ht="15" hidden="false" customHeight="false" outlineLevel="0" collapsed="false">
      <c r="A19" s="18" t="s">
        <v>10</v>
      </c>
      <c r="B19" s="18" t="s">
        <v>15</v>
      </c>
      <c r="C19" s="18" t="s">
        <v>57</v>
      </c>
      <c r="D19" s="19"/>
      <c r="E19" s="20"/>
      <c r="F19" s="21"/>
      <c r="G19" s="21" t="str">
        <f aca="false">IFERROR(googlefinance("BVMF:"&amp;D19),"")</f>
        <v/>
      </c>
      <c r="H19" s="21" t="n">
        <v>2568.37</v>
      </c>
      <c r="I19" s="21" t="n">
        <f aca="false">IF(D19&lt;&gt;"",IF(ISNUMBER(G19),E19*G19,F19),IF(H19&lt;&gt;"",H19,IF(F19&lt;&gt;"",F19,"")))</f>
        <v>2568.37</v>
      </c>
      <c r="J19" s="21" t="str">
        <f aca="false">IF(OR(F19="",I19=""),"",I19-F19)</f>
        <v/>
      </c>
      <c r="K19" s="22" t="str">
        <f aca="false">IFERROR((I19-F19)/F19,"")</f>
        <v/>
      </c>
      <c r="L19" s="18" t="s">
        <v>58</v>
      </c>
    </row>
    <row r="20" customFormat="false" ht="15" hidden="false" customHeight="false" outlineLevel="0" collapsed="false">
      <c r="A20" s="18" t="s">
        <v>10</v>
      </c>
      <c r="B20" s="18" t="s">
        <v>18</v>
      </c>
      <c r="C20" s="18" t="s">
        <v>59</v>
      </c>
      <c r="D20" s="19"/>
      <c r="E20" s="20"/>
      <c r="F20" s="21"/>
      <c r="G20" s="21" t="str">
        <f aca="false">IFERROR(googlefinance("BVMF:"&amp;D20),"")</f>
        <v/>
      </c>
      <c r="H20" s="21" t="n">
        <v>302.01</v>
      </c>
      <c r="I20" s="21" t="n">
        <f aca="false">IF(D20&lt;&gt;"",IF(ISNUMBER(G20),E20*G20,F20),IF(H20&lt;&gt;"",H20,IF(F20&lt;&gt;"",F20,"")))</f>
        <v>302.01</v>
      </c>
      <c r="J20" s="21" t="str">
        <f aca="false">IF(OR(F20="",I20=""),"",I20-F20)</f>
        <v/>
      </c>
      <c r="K20" s="22" t="str">
        <f aca="false">IFERROR((I20-F20)/F20,"")</f>
        <v/>
      </c>
      <c r="L20" s="18"/>
    </row>
    <row r="21" customFormat="false" ht="15" hidden="false" customHeight="false" outlineLevel="0" collapsed="false">
      <c r="A21" s="18" t="s">
        <v>11</v>
      </c>
      <c r="B21" s="18" t="s">
        <v>16</v>
      </c>
      <c r="C21" s="18" t="s">
        <v>60</v>
      </c>
      <c r="D21" s="19"/>
      <c r="E21" s="20"/>
      <c r="F21" s="21" t="n">
        <v>23968.24</v>
      </c>
      <c r="G21" s="21" t="str">
        <f aca="false">IFERROR(googlefinance("BVMF:"&amp;D21),"")</f>
        <v/>
      </c>
      <c r="H21" s="21" t="n">
        <v>23968.24</v>
      </c>
      <c r="I21" s="21" t="n">
        <f aca="false">IF(D21&lt;&gt;"",IF(ISNUMBER(G21),E21*G21,F21),IF(H21&lt;&gt;"",H21,IF(F21&lt;&gt;"",F21,"")))</f>
        <v>23968.24</v>
      </c>
      <c r="J21" s="21" t="n">
        <f aca="false">IF(OR(F21="",I21=""),"",I21-F21)</f>
        <v>0</v>
      </c>
      <c r="K21" s="22" t="n">
        <f aca="false">IFERROR((I21-F21)/F21,"")</f>
        <v>0</v>
      </c>
      <c r="L21" s="18" t="s">
        <v>61</v>
      </c>
    </row>
    <row r="22" customFormat="false" ht="15" hidden="false" customHeight="false" outlineLevel="0" collapsed="false">
      <c r="A22" s="18" t="s">
        <v>11</v>
      </c>
      <c r="B22" s="18" t="s">
        <v>16</v>
      </c>
      <c r="C22" s="18" t="s">
        <v>62</v>
      </c>
      <c r="D22" s="19"/>
      <c r="E22" s="20"/>
      <c r="F22" s="21" t="n">
        <v>8432.36</v>
      </c>
      <c r="G22" s="21" t="str">
        <f aca="false">IFERROR(googlefinance("BVMF:"&amp;D22),"")</f>
        <v/>
      </c>
      <c r="H22" s="21" t="n">
        <v>8432.36</v>
      </c>
      <c r="I22" s="21" t="n">
        <f aca="false">IF(D22&lt;&gt;"",IF(ISNUMBER(G22),E22*G22,F22),IF(H22&lt;&gt;"",H22,IF(F22&lt;&gt;"",F22,"")))</f>
        <v>8432.36</v>
      </c>
      <c r="J22" s="21" t="n">
        <f aca="false">IF(OR(F22="",I22=""),"",I22-F22)</f>
        <v>0</v>
      </c>
      <c r="K22" s="22" t="n">
        <f aca="false">IFERROR((I22-F22)/F22,"")</f>
        <v>0</v>
      </c>
      <c r="L22" s="18" t="s">
        <v>61</v>
      </c>
    </row>
    <row r="23" customFormat="false" ht="15" hidden="false" customHeight="false" outlineLevel="0" collapsed="false">
      <c r="A23" s="18" t="s">
        <v>11</v>
      </c>
      <c r="B23" s="18" t="s">
        <v>16</v>
      </c>
      <c r="C23" s="18" t="s">
        <v>63</v>
      </c>
      <c r="D23" s="19"/>
      <c r="E23" s="20"/>
      <c r="F23" s="21" t="n">
        <v>50160.95</v>
      </c>
      <c r="G23" s="21" t="str">
        <f aca="false">IFERROR(googlefinance("BVMF:"&amp;D23),"")</f>
        <v/>
      </c>
      <c r="H23" s="21" t="n">
        <v>50160.95</v>
      </c>
      <c r="I23" s="21" t="n">
        <f aca="false">IF(D23&lt;&gt;"",IF(ISNUMBER(G23),E23*G23,F23),IF(H23&lt;&gt;"",H23,IF(F23&lt;&gt;"",F23,"")))</f>
        <v>50160.95</v>
      </c>
      <c r="J23" s="21" t="n">
        <f aca="false">IF(OR(F23="",I23=""),"",I23-F23)</f>
        <v>0</v>
      </c>
      <c r="K23" s="22" t="n">
        <f aca="false">IFERROR((I23-F23)/F23,"")</f>
        <v>0</v>
      </c>
      <c r="L23" s="18" t="s">
        <v>61</v>
      </c>
    </row>
    <row r="24" customFormat="false" ht="25.5" hidden="false" customHeight="true" outlineLevel="0" collapsed="false">
      <c r="A24" s="28" t="s">
        <v>64</v>
      </c>
      <c r="B24" s="28"/>
      <c r="C24" s="28"/>
      <c r="D24" s="28"/>
      <c r="E24" s="28"/>
      <c r="F24" s="29" t="n">
        <f aca="false">SUMIF(F5:F23,"&lt;&gt;",F5:F23)</f>
        <v>104577.69</v>
      </c>
      <c r="G24" s="28"/>
      <c r="H24" s="28"/>
      <c r="I24" s="29" t="n">
        <f aca="false">SUMIF(I5:I23,"&lt;&gt;",I5:I23)</f>
        <v>163348.38</v>
      </c>
      <c r="J24" s="29" t="n">
        <f aca="false">IFERROR(I24-F24,"")</f>
        <v>58770.69</v>
      </c>
      <c r="K24" s="30" t="n">
        <f aca="false">IFERROR((I24-F24)/F24,"")</f>
        <v>0.561981145309291</v>
      </c>
      <c r="L24" s="28"/>
    </row>
  </sheetData>
  <mergeCells count="3">
    <mergeCell ref="A1:L1"/>
    <mergeCell ref="A2:L2"/>
    <mergeCell ref="A24:E24"/>
  </mergeCells>
  <dataValidations count="2">
    <dataValidation allowBlank="true" errorStyle="stop" operator="between" showDropDown="false" showErrorMessage="false" showInputMessage="false" sqref="A5:A23" type="list">
      <formula1>Config!$A$2:$A$5</formula1>
      <formula2>0</formula2>
    </dataValidation>
    <dataValidation allowBlank="true" errorStyle="stop" operator="between" showDropDown="false" showErrorMessage="false" showInputMessage="false" sqref="B5:B23" type="list">
      <formula1>Config!$B$2:$B$8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6"/>
  </cols>
  <sheetData>
    <row r="1" customFormat="false" ht="30" hidden="false" customHeight="true" outlineLevel="0" collapsed="false">
      <c r="B1" s="16" t="s">
        <v>65</v>
      </c>
      <c r="C1" s="16"/>
      <c r="D1" s="16"/>
      <c r="E1" s="16"/>
    </row>
    <row r="2" customFormat="false" ht="15" hidden="false" customHeight="false" outlineLevel="0" collapsed="false">
      <c r="B2" s="2" t="s">
        <v>66</v>
      </c>
      <c r="C2" s="2"/>
      <c r="D2" s="2"/>
      <c r="E2" s="2"/>
    </row>
    <row r="3" customFormat="false" ht="6" hidden="false" customHeight="true" outlineLevel="0" collapsed="false"/>
    <row r="4" customFormat="false" ht="15" hidden="false" customHeight="false" outlineLevel="0" collapsed="false">
      <c r="B4" s="31" t="s">
        <v>67</v>
      </c>
      <c r="C4" s="31" t="s">
        <v>68</v>
      </c>
      <c r="D4" s="31" t="s">
        <v>69</v>
      </c>
      <c r="E4" s="31" t="s">
        <v>30</v>
      </c>
    </row>
    <row r="5" customFormat="false" ht="15" hidden="false" customHeight="false" outlineLevel="0" collapsed="false">
      <c r="B5" s="32" t="s">
        <v>70</v>
      </c>
      <c r="C5" s="11"/>
      <c r="D5" s="11"/>
      <c r="E5" s="33" t="str">
        <f aca="false">IF(C5="","",C5-D5)</f>
        <v/>
      </c>
    </row>
    <row r="6" customFormat="false" ht="15" hidden="false" customHeight="false" outlineLevel="0" collapsed="false">
      <c r="B6" s="32" t="s">
        <v>71</v>
      </c>
      <c r="C6" s="11"/>
      <c r="D6" s="11"/>
      <c r="E6" s="33" t="str">
        <f aca="false">IF(C6="","",C6-D6)</f>
        <v/>
      </c>
    </row>
    <row r="7" customFormat="false" ht="15" hidden="false" customHeight="false" outlineLevel="0" collapsed="false">
      <c r="B7" s="32" t="s">
        <v>72</v>
      </c>
      <c r="C7" s="11"/>
      <c r="D7" s="11"/>
      <c r="E7" s="33" t="str">
        <f aca="false">IF(C7="","",C7-D7)</f>
        <v/>
      </c>
    </row>
    <row r="8" customFormat="false" ht="15" hidden="false" customHeight="false" outlineLevel="0" collapsed="false">
      <c r="B8" s="32" t="s">
        <v>73</v>
      </c>
      <c r="C8" s="11"/>
      <c r="D8" s="11"/>
      <c r="E8" s="33" t="str">
        <f aca="false">IF(C8="","",C8-D8)</f>
        <v/>
      </c>
    </row>
    <row r="9" customFormat="false" ht="15" hidden="false" customHeight="false" outlineLevel="0" collapsed="false">
      <c r="B9" s="32" t="s">
        <v>74</v>
      </c>
      <c r="C9" s="11"/>
      <c r="D9" s="11"/>
      <c r="E9" s="33" t="str">
        <f aca="false">IF(C9="","",C9-D9)</f>
        <v/>
      </c>
    </row>
    <row r="10" customFormat="false" ht="15" hidden="false" customHeight="false" outlineLevel="0" collapsed="false">
      <c r="B10" s="32" t="s">
        <v>75</v>
      </c>
      <c r="C10" s="11"/>
      <c r="D10" s="11"/>
      <c r="E10" s="33" t="str">
        <f aca="false">IF(C10="","",C10-D10)</f>
        <v/>
      </c>
    </row>
    <row r="11" customFormat="false" ht="15" hidden="false" customHeight="false" outlineLevel="0" collapsed="false">
      <c r="B11" s="32" t="s">
        <v>76</v>
      </c>
      <c r="C11" s="11"/>
      <c r="D11" s="11"/>
      <c r="E11" s="33" t="str">
        <f aca="false">IF(C11="","",C11-D11)</f>
        <v/>
      </c>
    </row>
    <row r="12" customFormat="false" ht="15" hidden="false" customHeight="false" outlineLevel="0" collapsed="false">
      <c r="B12" s="32" t="s">
        <v>77</v>
      </c>
      <c r="C12" s="11"/>
      <c r="D12" s="11"/>
      <c r="E12" s="33" t="str">
        <f aca="false">IF(C12="","",C12-D12)</f>
        <v/>
      </c>
    </row>
    <row r="13" customFormat="false" ht="15" hidden="false" customHeight="false" outlineLevel="0" collapsed="false">
      <c r="B13" s="32" t="s">
        <v>78</v>
      </c>
      <c r="C13" s="11"/>
      <c r="D13" s="11"/>
      <c r="E13" s="33" t="str">
        <f aca="false">IF(C13="","",C13-D13)</f>
        <v/>
      </c>
    </row>
    <row r="14" customFormat="false" ht="15" hidden="false" customHeight="false" outlineLevel="0" collapsed="false">
      <c r="B14" s="32" t="s">
        <v>79</v>
      </c>
      <c r="C14" s="11"/>
      <c r="D14" s="11"/>
      <c r="E14" s="33" t="str">
        <f aca="false">IF(C14="","",C14-D14)</f>
        <v/>
      </c>
    </row>
    <row r="15" customFormat="false" ht="15" hidden="false" customHeight="false" outlineLevel="0" collapsed="false">
      <c r="B15" s="32" t="s">
        <v>80</v>
      </c>
      <c r="C15" s="11"/>
      <c r="D15" s="11"/>
      <c r="E15" s="33" t="str">
        <f aca="false">IF(C15="","",C15-D15)</f>
        <v/>
      </c>
    </row>
    <row r="16" customFormat="false" ht="15" hidden="false" customHeight="false" outlineLevel="0" collapsed="false">
      <c r="B16" s="32" t="s">
        <v>81</v>
      </c>
      <c r="C16" s="11"/>
      <c r="D16" s="11"/>
      <c r="E16" s="33" t="str">
        <f aca="false">IF(C16="","",C16-D16)</f>
        <v/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5" min="5" style="0" width="110"/>
  </cols>
  <sheetData>
    <row r="1" customFormat="false" ht="16.15" hidden="false" customHeight="false" outlineLevel="0" collapsed="false">
      <c r="A1" s="34" t="s">
        <v>82</v>
      </c>
      <c r="B1" s="34" t="s">
        <v>83</v>
      </c>
      <c r="E1" s="35" t="s">
        <v>84</v>
      </c>
    </row>
    <row r="2" customFormat="false" ht="15" hidden="false" customHeight="false" outlineLevel="0" collapsed="false">
      <c r="A2" s="36" t="s">
        <v>9</v>
      </c>
      <c r="B2" s="36" t="s">
        <v>14</v>
      </c>
      <c r="E2" s="37"/>
    </row>
    <row r="3" customFormat="false" ht="15" hidden="false" customHeight="false" outlineLevel="0" collapsed="false">
      <c r="A3" s="36" t="s">
        <v>10</v>
      </c>
      <c r="B3" s="36" t="s">
        <v>15</v>
      </c>
      <c r="E3" s="37" t="s">
        <v>85</v>
      </c>
    </row>
    <row r="4" customFormat="false" ht="15" hidden="false" customHeight="false" outlineLevel="0" collapsed="false">
      <c r="A4" s="36" t="s">
        <v>11</v>
      </c>
      <c r="B4" s="36" t="s">
        <v>86</v>
      </c>
      <c r="E4" s="37"/>
    </row>
    <row r="5" customFormat="false" ht="15" hidden="false" customHeight="false" outlineLevel="0" collapsed="false">
      <c r="A5" s="36" t="s">
        <v>87</v>
      </c>
      <c r="B5" s="36" t="s">
        <v>88</v>
      </c>
      <c r="E5" s="37" t="s">
        <v>89</v>
      </c>
    </row>
    <row r="6" customFormat="false" ht="15" hidden="false" customHeight="false" outlineLevel="0" collapsed="false">
      <c r="B6" s="36" t="s">
        <v>16</v>
      </c>
      <c r="E6" s="37"/>
    </row>
    <row r="7" customFormat="false" ht="15" hidden="false" customHeight="false" outlineLevel="0" collapsed="false">
      <c r="B7" s="36" t="s">
        <v>18</v>
      </c>
      <c r="E7" s="37" t="s">
        <v>90</v>
      </c>
    </row>
    <row r="8" customFormat="false" ht="15" hidden="false" customHeight="false" outlineLevel="0" collapsed="false">
      <c r="B8" s="36" t="s">
        <v>17</v>
      </c>
      <c r="E8" s="37"/>
    </row>
    <row r="9" customFormat="false" ht="15" hidden="false" customHeight="false" outlineLevel="0" collapsed="false">
      <c r="E9" s="37" t="s">
        <v>91</v>
      </c>
    </row>
    <row r="10" customFormat="false" ht="15" hidden="false" customHeight="false" outlineLevel="0" collapsed="false">
      <c r="E10" s="37"/>
    </row>
    <row r="11" customFormat="false" ht="15" hidden="false" customHeight="false" outlineLevel="0" collapsed="false">
      <c r="E11" s="37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2026-06-13T02:21:27Z</dcterms:created>
  <dc:creator>openpyxl</dc:creator>
  <dc:description/>
  <dc:language>en-US</dc:language>
  <cp:lastModifiedBy/>
  <dcterms:modified xsi:type="dcterms:W3CDTF">2026-06-13T02:21:31Z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